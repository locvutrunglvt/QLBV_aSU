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MasterData" sheetId="3" state="visible" r:id="rId3"/>
    <sheet xmlns:r="http://schemas.openxmlformats.org/officeDocument/2006/relationships" name="BB_BaoTri" sheetId="4" state="visible" r:id="rId4"/>
    <sheet xmlns:r="http://schemas.openxmlformats.org/officeDocument/2006/relationships" name="BB_VeSinh" sheetId="5" state="visible" r:id="rId5"/>
    <sheet xmlns:r="http://schemas.openxmlformats.org/officeDocument/2006/relationships" name="NhatKy_ThiCong" sheetId="6" state="visible" r:id="rId6"/>
    <sheet xmlns:r="http://schemas.openxmlformats.org/officeDocument/2006/relationships" name="SystemLo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21" customWidth="1" min="2" max="2"/>
    <col width="14" customWidth="1" min="3" max="3"/>
    <col width="35" customWidth="1" min="4" max="4"/>
  </cols>
  <sheetData>
    <row r="1">
      <c r="A1" s="1" t="inlineStr">
        <is>
          <t>HỆ THỐNG QUẢN LÝ BẢO TRÌ &amp; VẬN HÀNH HÀNG RÀO ĐIỆN (QLBV)</t>
        </is>
      </c>
    </row>
    <row r="2">
      <c r="A2" s="2" t="inlineStr">
        <is>
          <t>Dự án Khẩn cấp Bảo tồn Voi TP. Đồng Nai (QĐ 704/QĐ-SNNMT &amp; 595/QĐ-SNNMT)</t>
        </is>
      </c>
    </row>
    <row r="3"/>
    <row r="4">
      <c r="A4" s="3" t="inlineStr">
        <is>
          <t>BẢNG TỔNG HỢP SỐ LIỆU THỰC HIỆN HIỆN TRƯỜNG</t>
        </is>
      </c>
    </row>
    <row r="5">
      <c r="A5" s="4" t="inlineStr">
        <is>
          <t>Hạng mục thống kê</t>
        </is>
      </c>
      <c r="B5" s="4" t="inlineStr">
        <is>
          <t>Số lượng / Giá trị</t>
        </is>
      </c>
      <c r="C5" s="4" t="inlineStr">
        <is>
          <t>Đơn vị tính</t>
        </is>
      </c>
      <c r="D5" s="4" t="inlineStr">
        <is>
          <t>Ghi chú</t>
        </is>
      </c>
    </row>
    <row r="6">
      <c r="A6" s="5" t="inlineStr">
        <is>
          <t>Tổng số lượt lập Biên bản Bảo trì sự cố</t>
        </is>
      </c>
      <c r="B6" s="6">
        <f>COUNTA(BB_BaoTri!A2:A1000)</f>
        <v/>
      </c>
      <c r="C6" s="7" t="inlineStr">
        <is>
          <t>Lượt</t>
        </is>
      </c>
      <c r="D6" s="5" t="inlineStr">
        <is>
          <t>Liên kết từ sheet BB_BaoTri</t>
        </is>
      </c>
    </row>
    <row r="7">
      <c r="A7" s="5" t="inlineStr">
        <is>
          <t>Tổng số lượt lập Biên bản Vệ sinh phát dọn</t>
        </is>
      </c>
      <c r="B7" s="6">
        <f>COUNTA(BB_VeSinh!A2:A1000)</f>
        <v/>
      </c>
      <c r="C7" s="7" t="inlineStr">
        <is>
          <t>Lượt</t>
        </is>
      </c>
      <c r="D7" s="5" t="inlineStr">
        <is>
          <t>Liên kết từ sheet BB_VeSinh</t>
        </is>
      </c>
    </row>
    <row r="8">
      <c r="A8" s="5" t="inlineStr">
        <is>
          <t>Tổng chiều dài tuyến đã phát dọn vệ sinh</t>
        </is>
      </c>
      <c r="B8" s="6">
        <f>SUM(BB_VeSinh!L2:L1000)</f>
        <v/>
      </c>
      <c r="C8" s="7" t="inlineStr">
        <is>
          <t>Mét</t>
        </is>
      </c>
      <c r="D8" s="5" t="inlineStr">
        <is>
          <t>Tổng cộng công thức =SUM</t>
        </is>
      </c>
    </row>
    <row r="9">
      <c r="A9" s="5" t="inlineStr">
        <is>
          <t>Tổng diện tích thực bì đã phát dọn</t>
        </is>
      </c>
      <c r="B9" s="6">
        <f>SUM(BB_VeSinh!M2:M1000)</f>
        <v/>
      </c>
      <c r="C9" s="7" t="inlineStr">
        <is>
          <t>m²</t>
        </is>
      </c>
      <c r="D9" s="5" t="inlineStr">
        <is>
          <t>Tổng cộng công thức =SUM</t>
        </is>
      </c>
    </row>
    <row r="10">
      <c r="A10" s="5" t="inlineStr">
        <is>
          <t>Tổng diện tích quy đổi ra Hecta (ha)</t>
        </is>
      </c>
      <c r="B10" s="6">
        <f>B9/10000</f>
        <v/>
      </c>
      <c r="C10" s="7" t="inlineStr">
        <is>
          <t>ha</t>
        </is>
      </c>
      <c r="D10" s="5" t="inlineStr">
        <is>
          <t>Công thức quy đổi =B9/10000</t>
        </is>
      </c>
    </row>
    <row r="11">
      <c r="A11" s="5" t="inlineStr">
        <is>
          <t>Tổng số ngày ghi Nhật ký thi công</t>
        </is>
      </c>
      <c r="B11" s="6">
        <f>COUNTA(NhatKy_ThiCong!A2:A1000)</f>
        <v/>
      </c>
      <c r="C11" s="7" t="inlineStr">
        <is>
          <t>Ngày</t>
        </is>
      </c>
      <c r="D11" s="5" t="inlineStr">
        <is>
          <t>Liên kết từ sheet NhatKy_ThiCong</t>
        </is>
      </c>
    </row>
    <row r="12">
      <c r="A12" s="5" t="inlineStr">
        <is>
          <t>Tổng số tài khoản người dùng trong hệ thống</t>
        </is>
      </c>
      <c r="B12" s="6">
        <f>COUNTA(Users!A2:A100)</f>
        <v/>
      </c>
      <c r="C12" s="7" t="inlineStr">
        <is>
          <t>Tài khoản</t>
        </is>
      </c>
      <c r="D12" s="5" t="inlineStr">
        <is>
          <t>Liên kết từ sheet Users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7" customWidth="1" min="3" max="3"/>
    <col width="27" customWidth="1" min="4" max="4"/>
    <col width="13" customWidth="1" min="5" max="5"/>
    <col width="33" customWidth="1" min="6" max="6"/>
    <col width="13" customWidth="1" min="7" max="7"/>
    <col width="12" customWidth="1" min="8" max="8"/>
    <col width="13" customWidth="1" min="9" max="9"/>
  </cols>
  <sheetData>
    <row r="1">
      <c r="A1" s="4" t="inlineStr">
        <is>
          <t>user_id</t>
        </is>
      </c>
      <c r="B1" s="4" t="inlineStr">
        <is>
          <t>username</t>
        </is>
      </c>
      <c r="C1" s="4" t="inlineStr">
        <is>
          <t>password_hash</t>
        </is>
      </c>
      <c r="D1" s="4" t="inlineStr">
        <is>
          <t>full_name</t>
        </is>
      </c>
      <c r="E1" s="4" t="inlineStr">
        <is>
          <t>role</t>
        </is>
      </c>
      <c r="F1" s="4" t="inlineStr">
        <is>
          <t>organization</t>
        </is>
      </c>
      <c r="G1" s="4" t="inlineStr">
        <is>
          <t>phone</t>
        </is>
      </c>
      <c r="H1" s="4" t="inlineStr">
        <is>
          <t>status</t>
        </is>
      </c>
      <c r="I1" s="4" t="inlineStr">
        <is>
          <t>last_login</t>
        </is>
      </c>
    </row>
    <row r="2">
      <c r="A2" s="5" t="inlineStr">
        <is>
          <t>U001</t>
        </is>
      </c>
      <c r="B2" s="5" t="inlineStr">
        <is>
          <t>admin</t>
        </is>
      </c>
      <c r="C2" s="5" t="inlineStr">
        <is>
          <t>8d969eef6ecad3c29a3a629280e686cf0c3f5d5a86aff3ca12020c923adc6c92</t>
        </is>
      </c>
      <c r="D2" s="5" t="inlineStr">
        <is>
          <t>Lộc Vũ Trung (Admin)</t>
        </is>
      </c>
      <c r="E2" s="5" t="inlineStr">
        <is>
          <t>Admin</t>
        </is>
      </c>
      <c r="F2" s="5" t="inlineStr">
        <is>
          <t>Ban Quản lý / Chi cục Kiểm lâm</t>
        </is>
      </c>
      <c r="G2" s="5" t="inlineStr">
        <is>
          <t>0900000001</t>
        </is>
      </c>
      <c r="H2" s="5" t="inlineStr">
        <is>
          <t>Active</t>
        </is>
      </c>
      <c r="I2" s="5" t="inlineStr"/>
    </row>
    <row r="3">
      <c r="A3" s="5" t="inlineStr">
        <is>
          <t>U002</t>
        </is>
      </c>
      <c r="B3" s="5" t="inlineStr">
        <is>
          <t>giamsat</t>
        </is>
      </c>
      <c r="C3" s="5" t="inlineStr">
        <is>
          <t>8d969eef6ecad3c29a3a629280e686cf0c3f5d5a86aff3ca12020c923adc6c92</t>
        </is>
      </c>
      <c r="D3" s="5" t="inlineStr">
        <is>
          <t>Cán bộ Giám sát Kiểm lâm</t>
        </is>
      </c>
      <c r="E3" s="5" t="inlineStr">
        <is>
          <t>Supervisor</t>
        </is>
      </c>
      <c r="F3" s="5" t="inlineStr">
        <is>
          <t>Hạt Kiểm lâm Khu vực</t>
        </is>
      </c>
      <c r="G3" s="5" t="inlineStr">
        <is>
          <t>0900000002</t>
        </is>
      </c>
      <c r="H3" s="5" t="inlineStr">
        <is>
          <t>Active</t>
        </is>
      </c>
      <c r="I3" s="5" t="inlineStr"/>
    </row>
    <row r="4">
      <c r="A4" s="5" t="inlineStr">
        <is>
          <t>U003</t>
        </is>
      </c>
      <c r="B4" s="5" t="inlineStr">
        <is>
          <t>baotri01</t>
        </is>
      </c>
      <c r="C4" s="5" t="inlineStr">
        <is>
          <t>8d969eef6ecad3c29a3a629280e686cf0c3f5d5a86aff3ca12020c923adc6c92</t>
        </is>
      </c>
      <c r="D4" s="5" t="inlineStr">
        <is>
          <t>Tổ trưởng Đội Bảo trì 1</t>
        </is>
      </c>
      <c r="E4" s="5" t="inlineStr">
        <is>
          <t>Worker</t>
        </is>
      </c>
      <c r="F4" s="5" t="inlineStr">
        <is>
          <t>Đơn vị Bảo trì HRD</t>
        </is>
      </c>
      <c r="G4" s="5" t="inlineStr">
        <is>
          <t>0900000003</t>
        </is>
      </c>
      <c r="H4" s="5" t="inlineStr">
        <is>
          <t>Active</t>
        </is>
      </c>
      <c r="I4" s="5" t="inlineStr"/>
    </row>
    <row r="5">
      <c r="A5" s="5" t="inlineStr">
        <is>
          <t>U004</t>
        </is>
      </c>
      <c r="B5" s="5" t="inlineStr">
        <is>
          <t>baotri02</t>
        </is>
      </c>
      <c r="C5" s="5" t="inlineStr">
        <is>
          <t>8d969eef6ecad3c29a3a629280e686cf0c3f5d5a86aff3ca12020c923adc6c92</t>
        </is>
      </c>
      <c r="D5" s="5" t="inlineStr">
        <is>
          <t>Tổ trưởng Đội Bảo trì 2</t>
        </is>
      </c>
      <c r="E5" s="5" t="inlineStr">
        <is>
          <t>Worker</t>
        </is>
      </c>
      <c r="F5" s="5" t="inlineStr">
        <is>
          <t>Đơn vị Bảo trì HRD</t>
        </is>
      </c>
      <c r="G5" s="5" t="inlineStr">
        <is>
          <t>0900000004</t>
        </is>
      </c>
      <c r="H5" s="5" t="inlineStr">
        <is>
          <t>Active</t>
        </is>
      </c>
      <c r="I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59" customWidth="1" min="3" max="3"/>
    <col width="29" customWidth="1" min="4" max="4"/>
  </cols>
  <sheetData>
    <row r="1">
      <c r="A1" s="8" t="inlineStr">
        <is>
          <t>category</t>
        </is>
      </c>
      <c r="B1" s="8" t="inlineStr">
        <is>
          <t>code</t>
        </is>
      </c>
      <c r="C1" s="8" t="inlineStr">
        <is>
          <t>name</t>
        </is>
      </c>
      <c r="D1" s="8" t="inlineStr">
        <is>
          <t>extra_info</t>
        </is>
      </c>
    </row>
    <row r="2">
      <c r="A2" s="5" t="inlineStr">
        <is>
          <t>Tuyen</t>
        </is>
      </c>
      <c r="B2" s="5" t="inlineStr">
        <is>
          <t>T01</t>
        </is>
      </c>
      <c r="C2" s="5" t="inlineStr">
        <is>
          <t>Tuyến Hàng rào điện Định Quán (Đoạn 1)</t>
        </is>
      </c>
      <c r="D2" s="5" t="inlineStr">
        <is>
          <t>Trụ 01 - Trụ 150</t>
        </is>
      </c>
    </row>
    <row r="3">
      <c r="A3" s="5" t="inlineStr">
        <is>
          <t>Tuyen</t>
        </is>
      </c>
      <c r="B3" s="5" t="inlineStr">
        <is>
          <t>T02</t>
        </is>
      </c>
      <c r="C3" s="5" t="inlineStr">
        <is>
          <t>Tuyến Hàng rào điện Vĩnh Cửu (Đoạn 2)</t>
        </is>
      </c>
      <c r="D3" s="5" t="inlineStr">
        <is>
          <t>Trụ 151 - Trụ 320</t>
        </is>
      </c>
    </row>
    <row r="4">
      <c r="A4" s="5" t="inlineStr">
        <is>
          <t>Tuyen</t>
        </is>
      </c>
      <c r="B4" s="5" t="inlineStr">
        <is>
          <t>T03</t>
        </is>
      </c>
      <c r="C4" s="5" t="inlineStr">
        <is>
          <t>Tuyến Hàng rào điện Tân Phú (Đoạn 3)</t>
        </is>
      </c>
      <c r="D4" s="5" t="inlineStr">
        <is>
          <t>Trụ 321 - Trụ 480</t>
        </is>
      </c>
    </row>
    <row r="5">
      <c r="A5" s="5" t="inlineStr">
        <is>
          <t>Tuyen</t>
        </is>
      </c>
      <c r="B5" s="5" t="inlineStr">
        <is>
          <t>T04</t>
        </is>
      </c>
      <c r="C5" s="5" t="inlineStr">
        <is>
          <t>Tuyến Hàng rào điện Bù Gia Mập giáp ranh</t>
        </is>
      </c>
      <c r="D5" s="5" t="inlineStr">
        <is>
          <t>Trụ 481 - Trụ 600</t>
        </is>
      </c>
    </row>
    <row r="6">
      <c r="A6" s="5" t="inlineStr">
        <is>
          <t>DonViBaoTri</t>
        </is>
      </c>
      <c r="B6" s="5" t="inlineStr">
        <is>
          <t>DV01</t>
        </is>
      </c>
      <c r="C6" s="5" t="inlineStr">
        <is>
          <t>Công ty TNHH Kỹ thuật Xây dựng &amp; Môi trường Đồng Nai</t>
        </is>
      </c>
      <c r="D6" s="5" t="inlineStr">
        <is>
          <t>Đơn vị trúng thầu bảo trì</t>
        </is>
      </c>
    </row>
    <row r="7">
      <c r="A7" s="5" t="inlineStr">
        <is>
          <t>DonViBaoTri</t>
        </is>
      </c>
      <c r="B7" s="5" t="inlineStr">
        <is>
          <t>DV02</t>
        </is>
      </c>
      <c r="C7" s="5" t="inlineStr">
        <is>
          <t>Tổ Kỹ thuật Bảo trì Hàng rào điện Chi cục Kiểm lâm</t>
        </is>
      </c>
      <c r="D7" s="5" t="inlineStr">
        <is>
          <t>Đội cơ động</t>
        </is>
      </c>
    </row>
    <row r="8">
      <c r="A8" s="5" t="inlineStr">
        <is>
          <t>ChuRung</t>
        </is>
      </c>
      <c r="B8" s="5" t="inlineStr">
        <is>
          <t>CR01</t>
        </is>
      </c>
      <c r="C8" s="5" t="inlineStr">
        <is>
          <t>Ban Quản lý Rừng phòng hộ Tân Phú</t>
        </is>
      </c>
      <c r="D8" s="5" t="inlineStr">
        <is>
          <t>Huyện Tân Phú, Đồng Nai</t>
        </is>
      </c>
    </row>
    <row r="9">
      <c r="A9" s="5" t="inlineStr">
        <is>
          <t>ChuRung</t>
        </is>
      </c>
      <c r="B9" s="5" t="inlineStr">
        <is>
          <t>CR02</t>
        </is>
      </c>
      <c r="C9" s="5" t="inlineStr">
        <is>
          <t>Khu Bảo tồn Thiên nhiên - Văn hóa Đồng Nai</t>
        </is>
      </c>
      <c r="D9" s="5" t="inlineStr">
        <is>
          <t>Huyện Vĩnh Cửu, Đồng Nai</t>
        </is>
      </c>
    </row>
    <row r="10">
      <c r="A10" s="5" t="inlineStr">
        <is>
          <t>ChuRung</t>
        </is>
      </c>
      <c r="B10" s="5" t="inlineStr">
        <is>
          <t>CR03</t>
        </is>
      </c>
      <c r="C10" s="5" t="inlineStr">
        <is>
          <t>Công ty TNHH MTV Lâm nghiệp La Ngà</t>
        </is>
      </c>
      <c r="D10" s="5" t="inlineStr">
        <is>
          <t>Huyện Định Quán, Đồng Nai</t>
        </is>
      </c>
    </row>
    <row r="11">
      <c r="A11" s="5" t="inlineStr">
        <is>
          <t>KiemLam</t>
        </is>
      </c>
      <c r="B11" s="5" t="inlineStr">
        <is>
          <t>KL01</t>
        </is>
      </c>
      <c r="C11" s="5" t="inlineStr">
        <is>
          <t>Hạt Kiểm lâm Huyện Định Quán</t>
        </is>
      </c>
      <c r="D11" s="5" t="inlineStr">
        <is>
          <t>Chi cục Kiểm lâm Đồng Nai</t>
        </is>
      </c>
    </row>
    <row r="12">
      <c r="A12" s="5" t="inlineStr">
        <is>
          <t>KiemLam</t>
        </is>
      </c>
      <c r="B12" s="5" t="inlineStr">
        <is>
          <t>KL02</t>
        </is>
      </c>
      <c r="C12" s="5" t="inlineStr">
        <is>
          <t>Hạt Kiểm lâm Huyện Vĩnh Cửu</t>
        </is>
      </c>
      <c r="D12" s="5" t="inlineStr">
        <is>
          <t>Chi cục Kiểm lâm Đồng Nai</t>
        </is>
      </c>
    </row>
    <row r="13">
      <c r="A13" s="5" t="inlineStr">
        <is>
          <t>KiemLam</t>
        </is>
      </c>
      <c r="B13" s="5" t="inlineStr">
        <is>
          <t>KL03</t>
        </is>
      </c>
      <c r="C13" s="5" t="inlineStr">
        <is>
          <t>Hạt Kiểm lâm Khu Bảo tồn Đồng Nai</t>
        </is>
      </c>
      <c r="D13" s="5" t="inlineStr">
        <is>
          <t>Chi cục Kiểm lâm Đồng Nai</t>
        </is>
      </c>
    </row>
    <row r="14">
      <c r="A14" s="5" t="inlineStr">
        <is>
          <t>SuCo</t>
        </is>
      </c>
      <c r="B14" s="5" t="inlineStr">
        <is>
          <t>SC01</t>
        </is>
      </c>
      <c r="C14" s="5" t="inlineStr">
        <is>
          <t>Đứt dây dẫn xung điện do cây đổ/gãy đè lên</t>
        </is>
      </c>
      <c r="D14" s="5" t="inlineStr">
        <is>
          <t>Cần nối dây &amp; phát dọn cây</t>
        </is>
      </c>
    </row>
    <row r="15">
      <c r="A15" s="5" t="inlineStr">
        <is>
          <t>SuCo</t>
        </is>
      </c>
      <c r="B15" s="5" t="inlineStr">
        <is>
          <t>SC02</t>
        </is>
      </c>
      <c r="C15" s="5" t="inlineStr">
        <is>
          <t>Sét đánh gây hỏng bộ tạo xung (Energizer)</t>
        </is>
      </c>
      <c r="D15" s="5" t="inlineStr">
        <is>
          <t>Cần thay bo mạch/máy phát</t>
        </is>
      </c>
    </row>
    <row r="16">
      <c r="A16" s="5" t="inlineStr">
        <is>
          <t>SuCo</t>
        </is>
      </c>
      <c r="B16" s="5" t="inlineStr">
        <is>
          <t>SC03</t>
        </is>
      </c>
      <c r="C16" s="5" t="inlineStr">
        <is>
          <t>Bình ắc quy / Tấm pin năng lượng mặt trời hỏng, yếu điện</t>
        </is>
      </c>
      <c r="D16" s="5" t="inlineStr">
        <is>
          <t>Cần kiểm tra sạc/ắc quy</t>
        </is>
      </c>
    </row>
    <row r="17">
      <c r="A17" s="5" t="inlineStr">
        <is>
          <t>SuCo</t>
        </is>
      </c>
      <c r="B17" s="5" t="inlineStr">
        <is>
          <t>SC04</t>
        </is>
      </c>
      <c r="C17" s="5" t="inlineStr">
        <is>
          <t>Sứ cách điện bị vỡ/nứt làm rò điện xuống đất</t>
        </is>
      </c>
      <c r="D17" s="5" t="inlineStr">
        <is>
          <t>Cần thay sứ cách điện</t>
        </is>
      </c>
    </row>
    <row r="18">
      <c r="A18" s="5" t="inlineStr">
        <is>
          <t>SuCo</t>
        </is>
      </c>
      <c r="B18" s="5" t="inlineStr">
        <is>
          <t>SC05</t>
        </is>
      </c>
      <c r="C18" s="5" t="inlineStr">
        <is>
          <t>Trụ rào bị nghiêng, gãy do voi/gia súc va quẹt</t>
        </is>
      </c>
      <c r="D18" s="5" t="inlineStr">
        <is>
          <t>Cần dựng lại/trồng trụ mới</t>
        </is>
      </c>
    </row>
    <row r="19">
      <c r="A19" s="5" t="inlineStr">
        <is>
          <t>SuCo</t>
        </is>
      </c>
      <c r="B19" s="5" t="inlineStr">
        <is>
          <t>SC06</t>
        </is>
      </c>
      <c r="C19" s="5" t="inlineStr">
        <is>
          <t>Cỏ cây mọc um tùm chạm vào dây gây ngắn mạch</t>
        </is>
      </c>
      <c r="D19" s="5" t="inlineStr">
        <is>
          <t>Cần phát dọn thực bì</t>
        </is>
      </c>
    </row>
    <row r="20">
      <c r="A20" s="5" t="inlineStr">
        <is>
          <t>ThietBi</t>
        </is>
      </c>
      <c r="B20" s="5" t="inlineStr">
        <is>
          <t>TB01</t>
        </is>
      </c>
      <c r="C20" s="5" t="inlineStr">
        <is>
          <t>Bộ phát xung điện (Energizer) 12V/220V</t>
        </is>
      </c>
      <c r="D20" s="5" t="inlineStr">
        <is>
          <t>Cái</t>
        </is>
      </c>
    </row>
    <row r="21">
      <c r="A21" s="5" t="inlineStr">
        <is>
          <t>ThietBi</t>
        </is>
      </c>
      <c r="B21" s="5" t="inlineStr">
        <is>
          <t>TB02</t>
        </is>
      </c>
      <c r="C21" s="5" t="inlineStr">
        <is>
          <t>Bình ắc quy lưu điện 12V - 100Ah</t>
        </is>
      </c>
      <c r="D21" s="5" t="inlineStr">
        <is>
          <t>Bình</t>
        </is>
      </c>
    </row>
    <row r="22">
      <c r="A22" s="5" t="inlineStr">
        <is>
          <t>ThietBi</t>
        </is>
      </c>
      <c r="B22" s="5" t="inlineStr">
        <is>
          <t>TB03</t>
        </is>
      </c>
      <c r="C22" s="5" t="inlineStr">
        <is>
          <t>Tấm pin năng lượng mặt trời Solar 100W/150W</t>
        </is>
      </c>
      <c r="D22" s="5" t="inlineStr">
        <is>
          <t>Tấm</t>
        </is>
      </c>
    </row>
    <row r="23">
      <c r="A23" s="5" t="inlineStr">
        <is>
          <t>ThietBi</t>
        </is>
      </c>
      <c r="B23" s="5" t="inlineStr">
        <is>
          <t>TB04</t>
        </is>
      </c>
      <c r="C23" s="5" t="inlineStr">
        <is>
          <t>Sứ cách điện néo / Sứ đỡ dây (Insulator)</t>
        </is>
      </c>
      <c r="D23" s="5" t="inlineStr">
        <is>
          <t>Cái</t>
        </is>
      </c>
    </row>
    <row r="24">
      <c r="A24" s="5" t="inlineStr">
        <is>
          <t>ThietBi</t>
        </is>
      </c>
      <c r="B24" s="5" t="inlineStr">
        <is>
          <t>TB05</t>
        </is>
      </c>
      <c r="C24" s="5" t="inlineStr">
        <is>
          <t>Dây cáp thép bọc kẽm chịu lực 2.5mm / 3.0mm</t>
        </is>
      </c>
      <c r="D24" s="5" t="inlineStr">
        <is>
          <t>Mét</t>
        </is>
      </c>
    </row>
    <row r="25">
      <c r="A25" s="5" t="inlineStr">
        <is>
          <t>ThietBi</t>
        </is>
      </c>
      <c r="B25" s="5" t="inlineStr">
        <is>
          <t>TB06</t>
        </is>
      </c>
      <c r="C25" s="5" t="inlineStr">
        <is>
          <t>Bộ chống sét lan truyền cho hàng rào điện</t>
        </is>
      </c>
      <c r="D25" s="5" t="inlineStr">
        <is>
          <t>Bộ</t>
        </is>
      </c>
    </row>
    <row r="26">
      <c r="A26" s="5" t="inlineStr">
        <is>
          <t>ThietBi</t>
        </is>
      </c>
      <c r="B26" s="5" t="inlineStr">
        <is>
          <t>TB07</t>
        </is>
      </c>
      <c r="C26" s="5" t="inlineStr">
        <is>
          <t>Bộ đo điện áp hàng rào chuyên dụng (Fault Finder)</t>
        </is>
      </c>
      <c r="D26" s="5" t="inlineStr">
        <is>
          <t>Cái</t>
        </is>
      </c>
    </row>
    <row r="27">
      <c r="A27" s="5" t="inlineStr">
        <is>
          <t>ThietBi</t>
        </is>
      </c>
      <c r="B27" s="5" t="inlineStr">
        <is>
          <t>TB08</t>
        </is>
      </c>
      <c r="C27" s="5" t="inlineStr">
        <is>
          <t>Trụ bê tông / Trụ sắt gia cố hàng rào</t>
        </is>
      </c>
      <c r="D27" s="5" t="inlineStr">
        <is>
          <t>Trụ</t>
        </is>
      </c>
    </row>
    <row r="28">
      <c r="A28" s="5" t="inlineStr">
        <is>
          <t>ChuDauTu</t>
        </is>
      </c>
      <c r="B28" s="5" t="inlineStr">
        <is>
          <t>CDT01</t>
        </is>
      </c>
      <c r="C28" s="5" t="inlineStr">
        <is>
          <t>Chi cục Kiểm lâm Tỉnh Đồng Nai</t>
        </is>
      </c>
      <c r="D28" s="5" t="inlineStr">
        <is>
          <t>0251.3822xxx</t>
        </is>
      </c>
    </row>
    <row r="29">
      <c r="A29" s="5" t="inlineStr">
        <is>
          <t>TuVanGiamSat</t>
        </is>
      </c>
      <c r="B29" s="5" t="inlineStr">
        <is>
          <t>TVGS01</t>
        </is>
      </c>
      <c r="C29" s="5" t="inlineStr">
        <is>
          <t>Ban Giám sát &amp; Quản lý Dự án Bảo tồn Voi</t>
        </is>
      </c>
      <c r="D29" s="5" t="inlineStr">
        <is>
          <t>0912.345xxx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9" customWidth="1" min="9" max="9"/>
    <col width="19" customWidth="1" min="10" max="10"/>
    <col width="12" customWidth="1" min="11" max="11"/>
    <col width="14" customWidth="1" min="12" max="12"/>
    <col width="16" customWidth="1" min="13" max="13"/>
    <col width="20" customWidth="1" min="14" max="14"/>
    <col width="20" customWidth="1" min="15" max="15"/>
    <col width="13" customWidth="1" min="16" max="16"/>
    <col width="13" customWidth="1" min="17" max="17"/>
    <col width="12" customWidth="1" min="18" max="18"/>
    <col width="12" customWidth="1" min="19" max="19"/>
  </cols>
  <sheetData>
    <row r="1">
      <c r="A1" s="8" t="inlineStr">
        <is>
          <t>record_id</t>
        </is>
      </c>
      <c r="B1" s="8" t="inlineStr">
        <is>
          <t>created_at</t>
        </is>
      </c>
      <c r="C1" s="8" t="inlineStr">
        <is>
          <t>created_by</t>
        </is>
      </c>
      <c r="D1" s="8" t="inlineStr">
        <is>
          <t>ngay_lap</t>
        </is>
      </c>
      <c r="E1" s="8" t="inlineStr">
        <is>
          <t>gio_lap</t>
        </is>
      </c>
      <c r="F1" s="8" t="inlineStr">
        <is>
          <t>dia_diem</t>
        </is>
      </c>
      <c r="G1" s="8" t="inlineStr">
        <is>
          <t>tuyen_hrd</t>
        </is>
      </c>
      <c r="H1" s="8" t="inlineStr">
        <is>
          <t>dai_dien_baotri</t>
        </is>
      </c>
      <c r="I1" s="8" t="inlineStr">
        <is>
          <t>dai_dien_churung</t>
        </is>
      </c>
      <c r="J1" s="8" t="inlineStr">
        <is>
          <t>dai_dien_kiemlam</t>
        </is>
      </c>
      <c r="K1" s="8" t="inlineStr">
        <is>
          <t>su_co</t>
        </is>
      </c>
      <c r="L1" s="8" t="inlineStr">
        <is>
          <t>nguyen_nhan</t>
        </is>
      </c>
      <c r="M1" s="8" t="inlineStr">
        <is>
          <t>thiet_bi_hong</t>
        </is>
      </c>
      <c r="N1" s="8" t="inlineStr">
        <is>
          <t>thiet_bi_thay_the</t>
        </is>
      </c>
      <c r="O1" s="8" t="inlineStr">
        <is>
          <t>ket_qua_khac_phuc</t>
        </is>
      </c>
      <c r="P1" s="8" t="inlineStr">
        <is>
          <t>tinh_trang</t>
        </is>
      </c>
      <c r="Q1" s="8" t="inlineStr">
        <is>
          <t>photos_url</t>
        </is>
      </c>
      <c r="R1" s="8" t="inlineStr">
        <is>
          <t>signature</t>
        </is>
      </c>
      <c r="S1" s="8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9" customWidth="1" min="9" max="9"/>
    <col width="15" customWidth="1" min="10" max="10"/>
    <col width="24" customWidth="1" min="11" max="11"/>
    <col width="19" customWidth="1" min="12" max="12"/>
    <col width="20" customWidth="1" min="13" max="13"/>
    <col width="19" customWidth="1" min="14" max="14"/>
    <col width="13" customWidth="1" min="15" max="15"/>
    <col width="12" customWidth="1" min="16" max="16"/>
    <col width="12" customWidth="1" min="17" max="17"/>
  </cols>
  <sheetData>
    <row r="1">
      <c r="A1" s="8" t="inlineStr">
        <is>
          <t>record_id</t>
        </is>
      </c>
      <c r="B1" s="8" t="inlineStr">
        <is>
          <t>created_at</t>
        </is>
      </c>
      <c r="C1" s="8" t="inlineStr">
        <is>
          <t>created_by</t>
        </is>
      </c>
      <c r="D1" s="8" t="inlineStr">
        <is>
          <t>ngay_lap</t>
        </is>
      </c>
      <c r="E1" s="8" t="inlineStr">
        <is>
          <t>gio_lap</t>
        </is>
      </c>
      <c r="F1" s="8" t="inlineStr">
        <is>
          <t>dia_diem</t>
        </is>
      </c>
      <c r="G1" s="8" t="inlineStr">
        <is>
          <t>tuyen_hrd</t>
        </is>
      </c>
      <c r="H1" s="8" t="inlineStr">
        <is>
          <t>dai_dien_baotri</t>
        </is>
      </c>
      <c r="I1" s="8" t="inlineStr">
        <is>
          <t>dai_dien_churung</t>
        </is>
      </c>
      <c r="J1" s="8" t="inlineStr">
        <is>
          <t>ds_nhan_cong</t>
        </is>
      </c>
      <c r="K1" s="8" t="inlineStr">
        <is>
          <t>chi_tiet_doan_ve_sinh</t>
        </is>
      </c>
      <c r="L1" s="8" t="inlineStr">
        <is>
          <t>tong_chieu_dai_m</t>
        </is>
      </c>
      <c r="M1" s="8" t="inlineStr">
        <is>
          <t>tong_dien_tich_m2</t>
        </is>
      </c>
      <c r="N1" s="8" t="inlineStr">
        <is>
          <t>danh_gia_ket_qua</t>
        </is>
      </c>
      <c r="O1" s="8" t="inlineStr">
        <is>
          <t>photos_url</t>
        </is>
      </c>
      <c r="P1" s="8" t="inlineStr">
        <is>
          <t>signature</t>
        </is>
      </c>
      <c r="Q1" s="8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20" customWidth="1" min="10" max="10"/>
    <col width="14" customWidth="1" min="11" max="11"/>
    <col width="15" customWidth="1" min="12" max="12"/>
    <col width="21" customWidth="1" min="13" max="13"/>
    <col width="20" customWidth="1" min="14" max="14"/>
    <col width="13" customWidth="1" min="15" max="15"/>
    <col width="12" customWidth="1" min="16" max="16"/>
    <col width="12" customWidth="1" min="17" max="17"/>
  </cols>
  <sheetData>
    <row r="1">
      <c r="A1" s="8" t="inlineStr">
        <is>
          <t>record_id</t>
        </is>
      </c>
      <c r="B1" s="8" t="inlineStr">
        <is>
          <t>created_at</t>
        </is>
      </c>
      <c r="C1" s="8" t="inlineStr">
        <is>
          <t>created_by</t>
        </is>
      </c>
      <c r="D1" s="8" t="inlineStr">
        <is>
          <t>ngay_ghi</t>
        </is>
      </c>
      <c r="E1" s="8" t="inlineStr">
        <is>
          <t>thoi_tiet</t>
        </is>
      </c>
      <c r="F1" s="8" t="inlineStr">
        <is>
          <t>hang_muc</t>
        </is>
      </c>
      <c r="G1" s="8" t="inlineStr">
        <is>
          <t>dia_diem</t>
        </is>
      </c>
      <c r="H1" s="8" t="inlineStr">
        <is>
          <t>chu_dau_tu</t>
        </is>
      </c>
      <c r="I1" s="8" t="inlineStr">
        <is>
          <t>tu_van_giam_sat</t>
        </is>
      </c>
      <c r="J1" s="8" t="inlineStr">
        <is>
          <t>nha_thau_thi_cong</t>
        </is>
      </c>
      <c r="K1" s="8" t="inlineStr">
        <is>
          <t>ds_thiet_bi</t>
        </is>
      </c>
      <c r="L1" s="8" t="inlineStr">
        <is>
          <t>ds_nhan_cong</t>
        </is>
      </c>
      <c r="M1" s="8" t="inlineStr">
        <is>
          <t>noi_dung_cong_viec</t>
        </is>
      </c>
      <c r="N1" s="8" t="inlineStr">
        <is>
          <t>danh_gia_giam_sat</t>
        </is>
      </c>
      <c r="O1" s="8" t="inlineStr">
        <is>
          <t>photos_url</t>
        </is>
      </c>
      <c r="P1" s="8" t="inlineStr">
        <is>
          <t>signature</t>
        </is>
      </c>
      <c r="Q1" s="8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8" t="inlineStr">
        <is>
          <t>timestamp</t>
        </is>
      </c>
      <c r="B1" s="8" t="inlineStr">
        <is>
          <t>username</t>
        </is>
      </c>
      <c r="C1" s="8" t="inlineStr">
        <is>
          <t>action</t>
        </is>
      </c>
      <c r="D1" s="8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Lộc Vũ Trung</dc:creator>
  <dc:title xmlns:dc="http://purl.org/dc/elements/1.1/">Hệ thống Quản lý Dữ liệu Bảo trì Hàng rào điện (QLBV)</dc:title>
  <dc:description xmlns:dc="http://purl.org/dc/elements/1.1/">Mẫu CSDL Google Sheets cho WebApp QLBV</dc:description>
  <dc:subject xmlns:dc="http://purl.org/dc/elements/1.1/">Dự án Bảo tồn Voi TP. Đồng Nai</dc:subject>
  <dcterms:created xmlns:dcterms="http://purl.org/dc/terms/" xmlns:xsi="http://www.w3.org/2001/XMLSchema-instance" xsi:type="dcterms:W3CDTF">2026-08-31T08:54:50Z</dcterms:created>
  <dcterms:modified xmlns:dcterms="http://purl.org/dc/terms/" xmlns:xsi="http://www.w3.org/2001/XMLSchema-instance" xsi:type="dcterms:W3CDTF">2026-08-31T08:54:50Z</dcterms:modified>
  <cp:lastModifiedBy>Lộc Vũ Trung</cp:lastModifiedBy>
</cp:coreProperties>
</file>